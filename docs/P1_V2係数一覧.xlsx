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係数一覧" sheetId="1" state="visible" r:id="rId1"/>
    <sheet xmlns:r="http://schemas.openxmlformats.org/officeDocument/2006/relationships" name="試算" sheetId="2" state="visible" r:id="rId2"/>
    <sheet xmlns:r="http://schemas.openxmlformats.org/officeDocument/2006/relationships" name="反映手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2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0" customWidth="1" min="4" max="4"/>
    <col width="10" customWidth="1" min="5" max="5"/>
    <col width="10" customWidth="1" min="6" max="6"/>
    <col width="8" customWidth="1" min="7" max="7"/>
    <col width="44" customWidth="1" min="8" max="8"/>
  </cols>
  <sheetData>
    <row r="1">
      <c r="A1" s="1" t="inlineStr">
        <is>
          <t>V2 工数係数一覧（概算見積）  ※黄色の「変更値」に直したい値だけ入力。空欄は現行値を採用</t>
        </is>
      </c>
    </row>
    <row r="2">
      <c r="A2" t="inlineStr">
        <is>
          <t>工数 = 基本 + 台数 + 走行パターン + レイアウト(現地のみ) + 充電器 + 磁気停止 + ランドマーク + EV + 自動ドア + PLC信号 + 上位連携 → 最低=基本工数、0.5h単位切上げ。金額 = 工数 × 賃率</t>
        </is>
      </c>
    </row>
    <row r="4">
      <c r="A4" s="2" t="inlineStr">
        <is>
          <t>区分</t>
        </is>
      </c>
      <c r="B4" s="2" t="inlineStr">
        <is>
          <t>項目</t>
        </is>
      </c>
      <c r="C4" s="2" t="inlineStr">
        <is>
          <t>DBフィールド</t>
        </is>
      </c>
      <c r="D4" s="2" t="inlineStr">
        <is>
          <t>現行値</t>
        </is>
      </c>
      <c r="E4" s="2" t="inlineStr">
        <is>
          <t>変更値</t>
        </is>
      </c>
      <c r="F4" s="2" t="inlineStr">
        <is>
          <t>採用値</t>
        </is>
      </c>
      <c r="G4" s="2" t="inlineStr">
        <is>
          <t>単位</t>
        </is>
      </c>
      <c r="H4" s="2" t="inlineStr">
        <is>
          <t>意味・使われ方</t>
        </is>
      </c>
    </row>
    <row r="5">
      <c r="A5" s="3" t="inlineStr">
        <is>
          <t>賃率</t>
        </is>
      </c>
      <c r="B5" s="3" t="inlineStr">
        <is>
          <t>原価賃率</t>
        </is>
      </c>
      <c r="C5" s="3" t="inlineStr">
        <is>
          <t>cost_hourly_rate</t>
        </is>
      </c>
      <c r="D5" s="4" t="n">
        <v>6820</v>
      </c>
      <c r="E5" s="5" t="n"/>
      <c r="F5" s="6">
        <f>IF(E5="",D5,E5)</f>
        <v/>
      </c>
      <c r="G5" s="3" t="inlineStr">
        <is>
          <t>円/h</t>
        </is>
      </c>
      <c r="H5" s="3" t="inlineStr">
        <is>
          <t>確定済み（工数×この値＝原価）</t>
        </is>
      </c>
    </row>
    <row r="6">
      <c r="A6" s="3" t="inlineStr">
        <is>
          <t>賃率</t>
        </is>
      </c>
      <c r="B6" s="3" t="inlineStr">
        <is>
          <t>販売賃率</t>
        </is>
      </c>
      <c r="C6" s="3" t="inlineStr">
        <is>
          <t>sell_hourly_rate</t>
        </is>
      </c>
      <c r="D6" s="4" t="n">
        <v>12000</v>
      </c>
      <c r="E6" s="5" t="n"/>
      <c r="F6" s="6">
        <f>IF(E6="",D6,E6)</f>
        <v/>
      </c>
      <c r="G6" s="3" t="inlineStr">
        <is>
          <t>円/h</t>
        </is>
      </c>
      <c r="H6" s="3" t="inlineStr">
        <is>
          <t>確定済み（工数×この値＝販売額）</t>
        </is>
      </c>
    </row>
    <row r="7">
      <c r="A7" s="3" t="inlineStr">
        <is>
          <t>基本</t>
        </is>
      </c>
      <c r="B7" s="3" t="inlineStr">
        <is>
          <t>設計 基本工数</t>
        </is>
      </c>
      <c r="C7" s="3" t="inlineStr">
        <is>
          <t>design_base_hours</t>
        </is>
      </c>
      <c r="D7" s="4" t="n">
        <v>8</v>
      </c>
      <c r="E7" s="5" t="n"/>
      <c r="F7" s="6">
        <f>IF(E7="",D7,E7)</f>
        <v/>
      </c>
      <c r="G7" s="3" t="inlineStr">
        <is>
          <t>h</t>
        </is>
      </c>
      <c r="H7" s="3" t="inlineStr">
        <is>
          <t>最低工数。どんな案件でもこれ以上</t>
        </is>
      </c>
    </row>
    <row r="8">
      <c r="A8" s="3" t="inlineStr">
        <is>
          <t>基本</t>
        </is>
      </c>
      <c r="B8" s="3" t="inlineStr">
        <is>
          <t>現地 基本工数</t>
        </is>
      </c>
      <c r="C8" s="3" t="inlineStr">
        <is>
          <t>setup_base_hours</t>
        </is>
      </c>
      <c r="D8" s="4" t="n">
        <v>8</v>
      </c>
      <c r="E8" s="5" t="n"/>
      <c r="F8" s="6">
        <f>IF(E8="",D8,E8)</f>
        <v/>
      </c>
      <c r="G8" s="3" t="inlineStr">
        <is>
          <t>h</t>
        </is>
      </c>
      <c r="H8" s="3" t="inlineStr">
        <is>
          <t>最低工数</t>
        </is>
      </c>
    </row>
    <row r="9">
      <c r="A9" s="3" t="inlineStr">
        <is>
          <t>台数</t>
        </is>
      </c>
      <c r="B9" s="3" t="inlineStr">
        <is>
          <t>設計 台数あたり</t>
        </is>
      </c>
      <c r="C9" s="3" t="inlineStr">
        <is>
          <t>design_vehicle_hours</t>
        </is>
      </c>
      <c r="D9" s="4" t="n">
        <v>2</v>
      </c>
      <c r="E9" s="5" t="n"/>
      <c r="F9" s="6">
        <f>IF(E9="",D9,E9)</f>
        <v/>
      </c>
      <c r="G9" s="3" t="inlineStr">
        <is>
          <t>h/台</t>
        </is>
      </c>
      <c r="H9" s="3" t="inlineStr">
        <is>
          <t>台数×この値を加算</t>
        </is>
      </c>
    </row>
    <row r="10">
      <c r="A10" s="3" t="inlineStr">
        <is>
          <t>台数</t>
        </is>
      </c>
      <c r="B10" s="3" t="inlineStr">
        <is>
          <t>現地 台数あたり</t>
        </is>
      </c>
      <c r="C10" s="3" t="inlineStr">
        <is>
          <t>setup_vehicle_hours</t>
        </is>
      </c>
      <c r="D10" s="4" t="n">
        <v>4</v>
      </c>
      <c r="E10" s="5" t="n"/>
      <c r="F10" s="6">
        <f>IF(E10="",D10,E10)</f>
        <v/>
      </c>
      <c r="G10" s="3" t="inlineStr">
        <is>
          <t>h/台</t>
        </is>
      </c>
      <c r="H10" s="3" t="inlineStr">
        <is>
          <t>台数×この値を加算</t>
        </is>
      </c>
    </row>
    <row r="11">
      <c r="A11" s="3" t="inlineStr">
        <is>
          <t>パターン</t>
        </is>
      </c>
      <c r="B11" s="3" t="inlineStr">
        <is>
          <t>設計 パターン点あたり</t>
        </is>
      </c>
      <c r="C11" s="3" t="inlineStr">
        <is>
          <t>design_pattern_hours</t>
        </is>
      </c>
      <c r="D11" s="4" t="n">
        <v>3</v>
      </c>
      <c r="E11" s="5" t="n"/>
      <c r="F11" s="6">
        <f>IF(E11="",D11,E11)</f>
        <v/>
      </c>
      <c r="G11" s="3" t="inlineStr">
        <is>
          <t>h/点</t>
        </is>
      </c>
      <c r="H11" s="3" t="inlineStr">
        <is>
          <t>走行パターンスコア×この値</t>
        </is>
      </c>
    </row>
    <row r="12">
      <c r="A12" s="3" t="inlineStr">
        <is>
          <t>パターン</t>
        </is>
      </c>
      <c r="B12" s="3" t="inlineStr">
        <is>
          <t>現地 パターン点あたり</t>
        </is>
      </c>
      <c r="C12" s="3" t="inlineStr">
        <is>
          <t>setup_pattern_hours</t>
        </is>
      </c>
      <c r="D12" s="4" t="n">
        <v>4</v>
      </c>
      <c r="E12" s="5" t="n"/>
      <c r="F12" s="6">
        <f>IF(E12="",D12,E12)</f>
        <v/>
      </c>
      <c r="G12" s="3" t="inlineStr">
        <is>
          <t>h/点</t>
        </is>
      </c>
      <c r="H12" s="3" t="inlineStr">
        <is>
          <t>同上（現地デバッグ・検証）</t>
        </is>
      </c>
    </row>
    <row r="13">
      <c r="A13" s="3" t="inlineStr">
        <is>
          <t>レイアウト</t>
        </is>
      </c>
      <c r="B13" s="3" t="inlineStr">
        <is>
          <t>現地 エリア規模あたり</t>
        </is>
      </c>
      <c r="C13" s="3" t="inlineStr">
        <is>
          <t>setup_layout_scale_hours</t>
        </is>
      </c>
      <c r="D13" s="4" t="n">
        <v>1.5</v>
      </c>
      <c r="E13" s="5" t="n"/>
      <c r="F13" s="6">
        <f>IF(E13="",D13,E13)</f>
        <v/>
      </c>
      <c r="G13" s="3" t="inlineStr">
        <is>
          <t>h/点</t>
        </is>
      </c>
      <c r="H13" s="3" t="inlineStr">
        <is>
          <t>√(短辺×長辺)÷10 × この値（現地のみ）</t>
        </is>
      </c>
    </row>
    <row r="14">
      <c r="A14" s="3" t="inlineStr">
        <is>
          <t>ルート複雑さ</t>
        </is>
      </c>
      <c r="B14" s="3" t="inlineStr">
        <is>
          <t>simple</t>
        </is>
      </c>
      <c r="C14" s="3" t="inlineStr">
        <is>
          <t>route_factor_simple</t>
        </is>
      </c>
      <c r="D14" s="4" t="n">
        <v>1</v>
      </c>
      <c r="E14" s="5" t="n"/>
      <c r="F14" s="6">
        <f>IF(E14="",D14,E14)</f>
        <v/>
      </c>
      <c r="G14" s="3" t="inlineStr">
        <is>
          <t>倍</t>
        </is>
      </c>
      <c r="H14" s="3" t="inlineStr">
        <is>
          <t>単純な搬送</t>
        </is>
      </c>
    </row>
    <row r="15">
      <c r="A15" s="3" t="inlineStr">
        <is>
          <t>ルート複雑さ</t>
        </is>
      </c>
      <c r="B15" s="3" t="inlineStr">
        <is>
          <t>standard</t>
        </is>
      </c>
      <c r="C15" s="3" t="inlineStr">
        <is>
          <t>route_factor_standard</t>
        </is>
      </c>
      <c r="D15" s="4" t="n">
        <v>1.5</v>
      </c>
      <c r="E15" s="5" t="n"/>
      <c r="F15" s="6">
        <f>IF(E15="",D15,E15)</f>
        <v/>
      </c>
      <c r="G15" s="3" t="inlineStr">
        <is>
          <t>倍</t>
        </is>
      </c>
      <c r="H15" s="3" t="inlineStr"/>
    </row>
    <row r="16">
      <c r="A16" s="3" t="inlineStr">
        <is>
          <t>ルート複雑さ</t>
        </is>
      </c>
      <c r="B16" s="3" t="inlineStr">
        <is>
          <t>complex</t>
        </is>
      </c>
      <c r="C16" s="3" t="inlineStr">
        <is>
          <t>route_factor_complex</t>
        </is>
      </c>
      <c r="D16" s="4" t="n">
        <v>2.3</v>
      </c>
      <c r="E16" s="5" t="n"/>
      <c r="F16" s="6">
        <f>IF(E16="",D16,E16)</f>
        <v/>
      </c>
      <c r="G16" s="3" t="inlineStr">
        <is>
          <t>倍</t>
        </is>
      </c>
      <c r="H16" s="3" t="inlineStr">
        <is>
          <t>分岐・交差が多い</t>
        </is>
      </c>
    </row>
    <row r="17">
      <c r="A17" s="3" t="inlineStr">
        <is>
          <t>ルート複雑さ</t>
        </is>
      </c>
      <c r="B17" s="3" t="inlineStr">
        <is>
          <t>unknown</t>
        </is>
      </c>
      <c r="C17" s="3" t="inlineStr">
        <is>
          <t>route_factor_unknown</t>
        </is>
      </c>
      <c r="D17" s="4" t="n">
        <v>1.6</v>
      </c>
      <c r="E17" s="5" t="n"/>
      <c r="F17" s="6">
        <f>IF(E17="",D17,E17)</f>
        <v/>
      </c>
      <c r="G17" s="3" t="inlineStr">
        <is>
          <t>倍</t>
        </is>
      </c>
      <c r="H17" s="3" t="inlineStr">
        <is>
          <t>未確定時の安全側</t>
        </is>
      </c>
    </row>
    <row r="18">
      <c r="A18" s="3" t="inlineStr">
        <is>
          <t>すれ違い・合流</t>
        </is>
      </c>
      <c r="B18" s="3" t="inlineStr">
        <is>
          <t>low</t>
        </is>
      </c>
      <c r="C18" s="3" t="inlineStr">
        <is>
          <t>merge_factor_low</t>
        </is>
      </c>
      <c r="D18" s="4" t="n">
        <v>0.8</v>
      </c>
      <c r="E18" s="5" t="n"/>
      <c r="F18" s="6">
        <f>IF(E18="",D18,E18)</f>
        <v/>
      </c>
      <c r="G18" s="3" t="inlineStr">
        <is>
          <t>倍</t>
        </is>
      </c>
      <c r="H18" s="3" t="inlineStr"/>
    </row>
    <row r="19">
      <c r="A19" s="3" t="inlineStr">
        <is>
          <t>すれ違い・合流</t>
        </is>
      </c>
      <c r="B19" s="3" t="inlineStr">
        <is>
          <t>standard</t>
        </is>
      </c>
      <c r="C19" s="3" t="inlineStr">
        <is>
          <t>merge_factor_standard</t>
        </is>
      </c>
      <c r="D19" s="4" t="n">
        <v>1.3</v>
      </c>
      <c r="E19" s="5" t="n"/>
      <c r="F19" s="6">
        <f>IF(E19="",D19,E19)</f>
        <v/>
      </c>
      <c r="G19" s="3" t="inlineStr">
        <is>
          <t>倍</t>
        </is>
      </c>
      <c r="H19" s="3" t="inlineStr"/>
    </row>
    <row r="20">
      <c r="A20" s="3" t="inlineStr">
        <is>
          <t>すれ違い・合流</t>
        </is>
      </c>
      <c r="B20" s="3" t="inlineStr">
        <is>
          <t>high</t>
        </is>
      </c>
      <c r="C20" s="3" t="inlineStr">
        <is>
          <t>merge_factor_high</t>
        </is>
      </c>
      <c r="D20" s="4" t="n">
        <v>2</v>
      </c>
      <c r="E20" s="5" t="n"/>
      <c r="F20" s="6">
        <f>IF(E20="",D20,E20)</f>
        <v/>
      </c>
      <c r="G20" s="3" t="inlineStr">
        <is>
          <t>倍</t>
        </is>
      </c>
      <c r="H20" s="3" t="inlineStr">
        <is>
          <t>デッドロック検証が増える</t>
        </is>
      </c>
    </row>
    <row r="21">
      <c r="A21" s="3" t="inlineStr">
        <is>
          <t>すれ違い・合流</t>
        </is>
      </c>
      <c r="B21" s="3" t="inlineStr">
        <is>
          <t>unknown</t>
        </is>
      </c>
      <c r="C21" s="3" t="inlineStr">
        <is>
          <t>merge_factor_unknown</t>
        </is>
      </c>
      <c r="D21" s="4" t="n">
        <v>1.4</v>
      </c>
      <c r="E21" s="5" t="n"/>
      <c r="F21" s="6">
        <f>IF(E21="",D21,E21)</f>
        <v/>
      </c>
      <c r="G21" s="3" t="inlineStr">
        <is>
          <t>倍</t>
        </is>
      </c>
      <c r="H21" s="3" t="inlineStr"/>
    </row>
    <row r="22">
      <c r="A22" s="3" t="inlineStr">
        <is>
          <t>台数補正</t>
        </is>
      </c>
      <c r="B22" s="3" t="inlineStr">
        <is>
          <t>1台</t>
        </is>
      </c>
      <c r="C22" s="3" t="inlineStr">
        <is>
          <t>vehicle_factor_one</t>
        </is>
      </c>
      <c r="D22" s="4" t="n">
        <v>1</v>
      </c>
      <c r="E22" s="5" t="n"/>
      <c r="F22" s="6">
        <f>IF(E22="",D22,E22)</f>
        <v/>
      </c>
      <c r="G22" s="3" t="inlineStr">
        <is>
          <t>倍</t>
        </is>
      </c>
      <c r="H22" s="3" t="inlineStr">
        <is>
          <t>パターンスコアに乗算</t>
        </is>
      </c>
    </row>
    <row r="23">
      <c r="A23" s="3" t="inlineStr">
        <is>
          <t>台数補正</t>
        </is>
      </c>
      <c r="B23" s="3" t="inlineStr">
        <is>
          <t>2台</t>
        </is>
      </c>
      <c r="C23" s="3" t="inlineStr">
        <is>
          <t>vehicle_factor_two</t>
        </is>
      </c>
      <c r="D23" s="4" t="n">
        <v>1.4</v>
      </c>
      <c r="E23" s="5" t="n"/>
      <c r="F23" s="6">
        <f>IF(E23="",D23,E23)</f>
        <v/>
      </c>
      <c r="G23" s="3" t="inlineStr">
        <is>
          <t>倍</t>
        </is>
      </c>
      <c r="H23" s="3" t="inlineStr"/>
    </row>
    <row r="24">
      <c r="A24" s="3" t="inlineStr">
        <is>
          <t>台数補正</t>
        </is>
      </c>
      <c r="B24" s="3" t="inlineStr">
        <is>
          <t>3台</t>
        </is>
      </c>
      <c r="C24" s="3" t="inlineStr">
        <is>
          <t>vehicle_factor_three</t>
        </is>
      </c>
      <c r="D24" s="4" t="n">
        <v>1.8</v>
      </c>
      <c r="E24" s="5" t="n"/>
      <c r="F24" s="6">
        <f>IF(E24="",D24,E24)</f>
        <v/>
      </c>
      <c r="G24" s="3" t="inlineStr">
        <is>
          <t>倍</t>
        </is>
      </c>
      <c r="H24" s="3" t="inlineStr"/>
    </row>
    <row r="25">
      <c r="A25" s="3" t="inlineStr">
        <is>
          <t>台数補正</t>
        </is>
      </c>
      <c r="B25" s="3" t="inlineStr">
        <is>
          <t>4台以上</t>
        </is>
      </c>
      <c r="C25" s="3" t="inlineStr">
        <is>
          <t>vehicle_factor_four_or_more</t>
        </is>
      </c>
      <c r="D25" s="4" t="n">
        <v>2.2</v>
      </c>
      <c r="E25" s="5" t="n"/>
      <c r="F25" s="6">
        <f>IF(E25="",D25,E25)</f>
        <v/>
      </c>
      <c r="G25" s="3" t="inlineStr">
        <is>
          <t>倍</t>
        </is>
      </c>
      <c r="H25" s="3" t="inlineStr">
        <is>
          <t>5台以上も同値（頭打ち）</t>
        </is>
      </c>
    </row>
    <row r="26">
      <c r="A26" s="3" t="inlineStr">
        <is>
          <t>ランドマーク係数</t>
        </is>
      </c>
      <c r="B26" s="3" t="inlineStr">
        <is>
          <t>small</t>
        </is>
      </c>
      <c r="C26" s="3" t="inlineStr">
        <is>
          <t>landmark_factor_small</t>
        </is>
      </c>
      <c r="D26" s="4" t="n">
        <v>1</v>
      </c>
      <c r="E26" s="5" t="n"/>
      <c r="F26" s="6">
        <f>IF(E26="",D26,E26)</f>
        <v/>
      </c>
      <c r="G26" s="3" t="inlineStr">
        <is>
          <t>倍</t>
        </is>
      </c>
      <c r="H26" s="3" t="inlineStr">
        <is>
          <t>ランドマークを使う範囲</t>
        </is>
      </c>
    </row>
    <row r="27">
      <c r="A27" s="3" t="inlineStr">
        <is>
          <t>ランドマーク係数</t>
        </is>
      </c>
      <c r="B27" s="3" t="inlineStr">
        <is>
          <t>medium</t>
        </is>
      </c>
      <c r="C27" s="3" t="inlineStr">
        <is>
          <t>landmark_factor_medium</t>
        </is>
      </c>
      <c r="D27" s="4" t="n">
        <v>1.8</v>
      </c>
      <c r="E27" s="5" t="n"/>
      <c r="F27" s="6">
        <f>IF(E27="",D27,E27)</f>
        <v/>
      </c>
      <c r="G27" s="3" t="inlineStr">
        <is>
          <t>倍</t>
        </is>
      </c>
      <c r="H27" s="3" t="inlineStr"/>
    </row>
    <row r="28">
      <c r="A28" s="3" t="inlineStr">
        <is>
          <t>ランドマーク係数</t>
        </is>
      </c>
      <c r="B28" s="3" t="inlineStr">
        <is>
          <t>large</t>
        </is>
      </c>
      <c r="C28" s="3" t="inlineStr">
        <is>
          <t>landmark_factor_large</t>
        </is>
      </c>
      <c r="D28" s="4" t="n">
        <v>2.8</v>
      </c>
      <c r="E28" s="5" t="n"/>
      <c r="F28" s="6">
        <f>IF(E28="",D28,E28)</f>
        <v/>
      </c>
      <c r="G28" s="3" t="inlineStr">
        <is>
          <t>倍</t>
        </is>
      </c>
      <c r="H28" s="3" t="inlineStr"/>
    </row>
    <row r="29">
      <c r="A29" s="3" t="inlineStr">
        <is>
          <t>ランドマーク係数</t>
        </is>
      </c>
      <c r="B29" s="3" t="inlineStr">
        <is>
          <t>full</t>
        </is>
      </c>
      <c r="C29" s="3" t="inlineStr">
        <is>
          <t>landmark_factor_full</t>
        </is>
      </c>
      <c r="D29" s="4" t="n">
        <v>4</v>
      </c>
      <c r="E29" s="5" t="n"/>
      <c r="F29" s="6">
        <f>IF(E29="",D29,E29)</f>
        <v/>
      </c>
      <c r="G29" s="3" t="inlineStr">
        <is>
          <t>倍</t>
        </is>
      </c>
      <c r="H29" s="3" t="inlineStr">
        <is>
          <t>全域</t>
        </is>
      </c>
    </row>
    <row r="30">
      <c r="A30" s="3" t="inlineStr">
        <is>
          <t>ランドマーク係数</t>
        </is>
      </c>
      <c r="B30" s="3" t="inlineStr">
        <is>
          <t>unknown</t>
        </is>
      </c>
      <c r="C30" s="3" t="inlineStr">
        <is>
          <t>landmark_factor_unknown</t>
        </is>
      </c>
      <c r="D30" s="4" t="n">
        <v>2.2</v>
      </c>
      <c r="E30" s="5" t="n"/>
      <c r="F30" s="6">
        <f>IF(E30="",D30,E30)</f>
        <v/>
      </c>
      <c r="G30" s="3" t="inlineStr">
        <is>
          <t>倍</t>
        </is>
      </c>
      <c r="H30" s="3" t="inlineStr"/>
    </row>
    <row r="31">
      <c r="A31" s="3" t="inlineStr">
        <is>
          <t>ランドマーク工数</t>
        </is>
      </c>
      <c r="B31" s="3" t="inlineStr">
        <is>
          <t>設計 係数あたり</t>
        </is>
      </c>
      <c r="C31" s="3" t="inlineStr">
        <is>
          <t>design_landmark_hours</t>
        </is>
      </c>
      <c r="D31" s="4" t="n">
        <v>1</v>
      </c>
      <c r="E31" s="5" t="n"/>
      <c r="F31" s="6">
        <f>IF(E31="",D31,E31)</f>
        <v/>
      </c>
      <c r="G31" s="3" t="inlineStr">
        <is>
          <t>h/点</t>
        </is>
      </c>
      <c r="H31" s="3" t="inlineStr">
        <is>
          <t>ランドマーク係数×この値</t>
        </is>
      </c>
    </row>
    <row r="32">
      <c r="A32" s="3" t="inlineStr">
        <is>
          <t>ランドマーク工数</t>
        </is>
      </c>
      <c r="B32" s="3" t="inlineStr">
        <is>
          <t>現地 係数あたり</t>
        </is>
      </c>
      <c r="C32" s="3" t="inlineStr">
        <is>
          <t>setup_landmark_hours</t>
        </is>
      </c>
      <c r="D32" s="4" t="n">
        <v>4</v>
      </c>
      <c r="E32" s="5" t="n"/>
      <c r="F32" s="6">
        <f>IF(E32="",D32,E32)</f>
        <v/>
      </c>
      <c r="G32" s="3" t="inlineStr">
        <is>
          <t>h/点</t>
        </is>
      </c>
      <c r="H32" s="3" t="inlineStr"/>
    </row>
    <row r="33">
      <c r="A33" s="3" t="inlineStr">
        <is>
          <t>設備</t>
        </is>
      </c>
      <c r="B33" s="3" t="inlineStr">
        <is>
          <t>設計 充電器1台</t>
        </is>
      </c>
      <c r="C33" s="3" t="inlineStr">
        <is>
          <t>design_charger_hours</t>
        </is>
      </c>
      <c r="D33" s="4" t="n">
        <v>1</v>
      </c>
      <c r="E33" s="5" t="n"/>
      <c r="F33" s="6">
        <f>IF(E33="",D33,E33)</f>
        <v/>
      </c>
      <c r="G33" s="3" t="inlineStr">
        <is>
          <t>h/台</t>
        </is>
      </c>
      <c r="H33" s="3" t="inlineStr"/>
    </row>
    <row r="34">
      <c r="A34" s="3" t="inlineStr">
        <is>
          <t>設備</t>
        </is>
      </c>
      <c r="B34" s="3" t="inlineStr">
        <is>
          <t>現地 充電器1台</t>
        </is>
      </c>
      <c r="C34" s="3" t="inlineStr">
        <is>
          <t>setup_charger_hours</t>
        </is>
      </c>
      <c r="D34" s="4" t="n">
        <v>2</v>
      </c>
      <c r="E34" s="5" t="n"/>
      <c r="F34" s="6">
        <f>IF(E34="",D34,E34)</f>
        <v/>
      </c>
      <c r="G34" s="3" t="inlineStr">
        <is>
          <t>h/台</t>
        </is>
      </c>
      <c r="H34" s="3" t="inlineStr"/>
    </row>
    <row r="35">
      <c r="A35" s="3" t="inlineStr">
        <is>
          <t>設備</t>
        </is>
      </c>
      <c r="B35" s="3" t="inlineStr">
        <is>
          <t>設計 磁気停止1箇所</t>
        </is>
      </c>
      <c r="C35" s="3" t="inlineStr">
        <is>
          <t>design_magnetic_stop_hours</t>
        </is>
      </c>
      <c r="D35" s="4" t="n">
        <v>0.5</v>
      </c>
      <c r="E35" s="5" t="n"/>
      <c r="F35" s="6">
        <f>IF(E35="",D35,E35)</f>
        <v/>
      </c>
      <c r="G35" s="3" t="inlineStr">
        <is>
          <t>h/箇所</t>
        </is>
      </c>
      <c r="H35" s="3" t="inlineStr"/>
    </row>
    <row r="36">
      <c r="A36" s="3" t="inlineStr">
        <is>
          <t>設備</t>
        </is>
      </c>
      <c r="B36" s="3" t="inlineStr">
        <is>
          <t>現地 磁気停止1箇所</t>
        </is>
      </c>
      <c r="C36" s="3" t="inlineStr">
        <is>
          <t>setup_magnetic_stop_hours</t>
        </is>
      </c>
      <c r="D36" s="4" t="n">
        <v>1</v>
      </c>
      <c r="E36" s="5" t="n"/>
      <c r="F36" s="6">
        <f>IF(E36="",D36,E36)</f>
        <v/>
      </c>
      <c r="G36" s="3" t="inlineStr">
        <is>
          <t>h/箇所</t>
        </is>
      </c>
      <c r="H36" s="3" t="inlineStr"/>
    </row>
    <row r="37">
      <c r="A37" s="3" t="inlineStr">
        <is>
          <t>設備連携</t>
        </is>
      </c>
      <c r="B37" s="3" t="inlineStr">
        <is>
          <t>設計 EV 1基</t>
        </is>
      </c>
      <c r="C37" s="3" t="inlineStr">
        <is>
          <t>design_elevator_hours</t>
        </is>
      </c>
      <c r="D37" s="4" t="n">
        <v>4</v>
      </c>
      <c r="E37" s="5" t="n"/>
      <c r="F37" s="6">
        <f>IF(E37="",D37,E37)</f>
        <v/>
      </c>
      <c r="G37" s="3" t="inlineStr">
        <is>
          <t>h/基</t>
        </is>
      </c>
      <c r="H37" s="3" t="inlineStr"/>
    </row>
    <row r="38">
      <c r="A38" s="3" t="inlineStr">
        <is>
          <t>設備連携</t>
        </is>
      </c>
      <c r="B38" s="3" t="inlineStr">
        <is>
          <t>現地 EV 1基</t>
        </is>
      </c>
      <c r="C38" s="3" t="inlineStr">
        <is>
          <t>setup_elevator_hours</t>
        </is>
      </c>
      <c r="D38" s="4" t="n">
        <v>5</v>
      </c>
      <c r="E38" s="5" t="n"/>
      <c r="F38" s="6">
        <f>IF(E38="",D38,E38)</f>
        <v/>
      </c>
      <c r="G38" s="3" t="inlineStr">
        <is>
          <t>h/基</t>
        </is>
      </c>
      <c r="H38" s="3" t="inlineStr"/>
    </row>
    <row r="39">
      <c r="A39" s="3" t="inlineStr">
        <is>
          <t>設備連携</t>
        </is>
      </c>
      <c r="B39" s="3" t="inlineStr">
        <is>
          <t>設計 自動ドア1基</t>
        </is>
      </c>
      <c r="C39" s="3" t="inlineStr">
        <is>
          <t>design_auto_door_hours</t>
        </is>
      </c>
      <c r="D39" s="4" t="n">
        <v>2</v>
      </c>
      <c r="E39" s="5" t="n"/>
      <c r="F39" s="6">
        <f>IF(E39="",D39,E39)</f>
        <v/>
      </c>
      <c r="G39" s="3" t="inlineStr">
        <is>
          <t>h/基</t>
        </is>
      </c>
      <c r="H39" s="3" t="inlineStr"/>
    </row>
    <row r="40">
      <c r="A40" s="3" t="inlineStr">
        <is>
          <t>設備連携</t>
        </is>
      </c>
      <c r="B40" s="3" t="inlineStr">
        <is>
          <t>現地 自動ドア1基</t>
        </is>
      </c>
      <c r="C40" s="3" t="inlineStr">
        <is>
          <t>setup_auto_door_hours</t>
        </is>
      </c>
      <c r="D40" s="4" t="n">
        <v>3</v>
      </c>
      <c r="E40" s="5" t="n"/>
      <c r="F40" s="6">
        <f>IF(E40="",D40,E40)</f>
        <v/>
      </c>
      <c r="G40" s="3" t="inlineStr">
        <is>
          <t>h/基</t>
        </is>
      </c>
      <c r="H40" s="3" t="inlineStr"/>
    </row>
    <row r="41">
      <c r="A41" s="3" t="inlineStr">
        <is>
          <t>設備連携</t>
        </is>
      </c>
      <c r="B41" s="3" t="inlineStr">
        <is>
          <t>設計 PLC信号1点</t>
        </is>
      </c>
      <c r="C41" s="3" t="inlineStr">
        <is>
          <t>design_plc_signal_hours</t>
        </is>
      </c>
      <c r="D41" s="4" t="n">
        <v>1.2</v>
      </c>
      <c r="E41" s="5" t="n"/>
      <c r="F41" s="6">
        <f>IF(E41="",D41,E41)</f>
        <v/>
      </c>
      <c r="G41" s="3" t="inlineStr">
        <is>
          <t>h/点</t>
        </is>
      </c>
      <c r="H41" s="3" t="inlineStr"/>
    </row>
    <row r="42">
      <c r="A42" s="3" t="inlineStr">
        <is>
          <t>設備連携</t>
        </is>
      </c>
      <c r="B42" s="3" t="inlineStr">
        <is>
          <t>現地 PLC信号1点</t>
        </is>
      </c>
      <c r="C42" s="3" t="inlineStr">
        <is>
          <t>setup_plc_signal_hours</t>
        </is>
      </c>
      <c r="D42" s="4" t="n">
        <v>1.5</v>
      </c>
      <c r="E42" s="5" t="n"/>
      <c r="F42" s="6">
        <f>IF(E42="",D42,E42)</f>
        <v/>
      </c>
      <c r="G42" s="3" t="inlineStr">
        <is>
          <t>h/点</t>
        </is>
      </c>
      <c r="H42" s="3" t="inlineStr"/>
    </row>
    <row r="43">
      <c r="A43" s="3" t="inlineStr">
        <is>
          <t>PLC規模→信号点数</t>
        </is>
      </c>
      <c r="B43" s="3" t="inlineStr">
        <is>
          <t>none</t>
        </is>
      </c>
      <c r="C43" s="3" t="inlineStr">
        <is>
          <t>plc_none_value</t>
        </is>
      </c>
      <c r="D43" s="4" t="n">
        <v>0</v>
      </c>
      <c r="E43" s="5" t="n"/>
      <c r="F43" s="6">
        <f>IF(E43="",D43,E43)</f>
        <v/>
      </c>
      <c r="G43" s="3" t="inlineStr">
        <is>
          <t>点</t>
        </is>
      </c>
      <c r="H43" s="3" t="inlineStr"/>
    </row>
    <row r="44">
      <c r="A44" s="3" t="inlineStr">
        <is>
          <t>PLC規模→信号点数</t>
        </is>
      </c>
      <c r="B44" s="3" t="inlineStr">
        <is>
          <t>small</t>
        </is>
      </c>
      <c r="C44" s="3" t="inlineStr">
        <is>
          <t>plc_small_value</t>
        </is>
      </c>
      <c r="D44" s="4" t="n">
        <v>3</v>
      </c>
      <c r="E44" s="5" t="n"/>
      <c r="F44" s="6">
        <f>IF(E44="",D44,E44)</f>
        <v/>
      </c>
      <c r="G44" s="3" t="inlineStr">
        <is>
          <t>点</t>
        </is>
      </c>
      <c r="H44" s="3" t="inlineStr">
        <is>
          <t>目安 1〜5点</t>
        </is>
      </c>
    </row>
    <row r="45">
      <c r="A45" s="3" t="inlineStr">
        <is>
          <t>PLC規模→信号点数</t>
        </is>
      </c>
      <c r="B45" s="3" t="inlineStr">
        <is>
          <t>medium</t>
        </is>
      </c>
      <c r="C45" s="3" t="inlineStr">
        <is>
          <t>plc_medium_value</t>
        </is>
      </c>
      <c r="D45" s="4" t="n">
        <v>10</v>
      </c>
      <c r="E45" s="5" t="n"/>
      <c r="F45" s="6">
        <f>IF(E45="",D45,E45)</f>
        <v/>
      </c>
      <c r="G45" s="3" t="inlineStr">
        <is>
          <t>点</t>
        </is>
      </c>
      <c r="H45" s="3" t="inlineStr">
        <is>
          <t>目安 6〜15点</t>
        </is>
      </c>
    </row>
    <row r="46">
      <c r="A46" s="3" t="inlineStr">
        <is>
          <t>PLC規模→信号点数</t>
        </is>
      </c>
      <c r="B46" s="3" t="inlineStr">
        <is>
          <t>large</t>
        </is>
      </c>
      <c r="C46" s="3" t="inlineStr">
        <is>
          <t>plc_large_value</t>
        </is>
      </c>
      <c r="D46" s="4" t="n">
        <v>20</v>
      </c>
      <c r="E46" s="5" t="n"/>
      <c r="F46" s="6">
        <f>IF(E46="",D46,E46)</f>
        <v/>
      </c>
      <c r="G46" s="3" t="inlineStr">
        <is>
          <t>点</t>
        </is>
      </c>
      <c r="H46" s="3" t="inlineStr">
        <is>
          <t>目安 16〜30点</t>
        </is>
      </c>
    </row>
    <row r="47">
      <c r="A47" s="3" t="inlineStr">
        <is>
          <t>PLC規模→信号点数</t>
        </is>
      </c>
      <c r="B47" s="3" t="inlineStr">
        <is>
          <t>unknown</t>
        </is>
      </c>
      <c r="C47" s="3" t="inlineStr">
        <is>
          <t>plc_unknown_value</t>
        </is>
      </c>
      <c r="D47" s="4" t="n">
        <v>6</v>
      </c>
      <c r="E47" s="5" t="n"/>
      <c r="F47" s="6">
        <f>IF(E47="",D47,E47)</f>
        <v/>
      </c>
      <c r="G47" s="3" t="inlineStr">
        <is>
          <t>点</t>
        </is>
      </c>
      <c r="H47" s="3" t="inlineStr"/>
    </row>
    <row r="48">
      <c r="A48" s="3" t="inlineStr">
        <is>
          <t>上位連携(設計)</t>
        </is>
      </c>
      <c r="B48" s="3" t="inlineStr">
        <is>
          <t>none</t>
        </is>
      </c>
      <c r="C48" s="3" t="inlineStr">
        <is>
          <t>design_host_system_none_hours</t>
        </is>
      </c>
      <c r="D48" s="4" t="n">
        <v>0</v>
      </c>
      <c r="E48" s="5" t="n"/>
      <c r="F48" s="6">
        <f>IF(E48="",D48,E48)</f>
        <v/>
      </c>
      <c r="G48" s="3" t="inlineStr">
        <is>
          <t>h</t>
        </is>
      </c>
      <c r="H48" s="3" t="inlineStr"/>
    </row>
    <row r="49">
      <c r="A49" s="3" t="inlineStr">
        <is>
          <t>上位連携(設計)</t>
        </is>
      </c>
      <c r="B49" s="3" t="inlineStr">
        <is>
          <t>small</t>
        </is>
      </c>
      <c r="C49" s="3" t="inlineStr">
        <is>
          <t>design_host_system_small_hours</t>
        </is>
      </c>
      <c r="D49" s="4" t="n">
        <v>4</v>
      </c>
      <c r="E49" s="5" t="n"/>
      <c r="F49" s="6">
        <f>IF(E49="",D49,E49)</f>
        <v/>
      </c>
      <c r="G49" s="3" t="inlineStr">
        <is>
          <t>h</t>
        </is>
      </c>
      <c r="H49" s="3" t="inlineStr"/>
    </row>
    <row r="50">
      <c r="A50" s="3" t="inlineStr">
        <is>
          <t>上位連携(設計)</t>
        </is>
      </c>
      <c r="B50" s="3" t="inlineStr">
        <is>
          <t>medium</t>
        </is>
      </c>
      <c r="C50" s="3" t="inlineStr">
        <is>
          <t>design_host_system_medium_hours</t>
        </is>
      </c>
      <c r="D50" s="4" t="n">
        <v>8</v>
      </c>
      <c r="E50" s="5" t="n"/>
      <c r="F50" s="6">
        <f>IF(E50="",D50,E50)</f>
        <v/>
      </c>
      <c r="G50" s="3" t="inlineStr">
        <is>
          <t>h</t>
        </is>
      </c>
      <c r="H50" s="3" t="inlineStr"/>
    </row>
    <row r="51">
      <c r="A51" s="3" t="inlineStr">
        <is>
          <t>上位連携(設計)</t>
        </is>
      </c>
      <c r="B51" s="3" t="inlineStr">
        <is>
          <t>large</t>
        </is>
      </c>
      <c r="C51" s="3" t="inlineStr">
        <is>
          <t>design_host_system_large_hours</t>
        </is>
      </c>
      <c r="D51" s="4" t="n">
        <v>16</v>
      </c>
      <c r="E51" s="5" t="n"/>
      <c r="F51" s="6">
        <f>IF(E51="",D51,E51)</f>
        <v/>
      </c>
      <c r="G51" s="3" t="inlineStr">
        <is>
          <t>h</t>
        </is>
      </c>
      <c r="H51" s="3" t="inlineStr"/>
    </row>
    <row r="52">
      <c r="A52" s="3" t="inlineStr">
        <is>
          <t>上位連携(現地)</t>
        </is>
      </c>
      <c r="B52" s="3" t="inlineStr">
        <is>
          <t>none</t>
        </is>
      </c>
      <c r="C52" s="3" t="inlineStr">
        <is>
          <t>setup_host_system_none_hours</t>
        </is>
      </c>
      <c r="D52" s="4" t="n">
        <v>0</v>
      </c>
      <c r="E52" s="5" t="n"/>
      <c r="F52" s="6">
        <f>IF(E52="",D52,E52)</f>
        <v/>
      </c>
      <c r="G52" s="3" t="inlineStr">
        <is>
          <t>h</t>
        </is>
      </c>
      <c r="H52" s="3" t="inlineStr"/>
    </row>
    <row r="53">
      <c r="A53" s="3" t="inlineStr">
        <is>
          <t>上位連携(現地)</t>
        </is>
      </c>
      <c r="B53" s="3" t="inlineStr">
        <is>
          <t>small</t>
        </is>
      </c>
      <c r="C53" s="3" t="inlineStr">
        <is>
          <t>setup_host_system_small_hours</t>
        </is>
      </c>
      <c r="D53" s="4" t="n">
        <v>4</v>
      </c>
      <c r="E53" s="5" t="n"/>
      <c r="F53" s="6">
        <f>IF(E53="",D53,E53)</f>
        <v/>
      </c>
      <c r="G53" s="3" t="inlineStr">
        <is>
          <t>h</t>
        </is>
      </c>
      <c r="H53" s="3" t="inlineStr"/>
    </row>
    <row r="54">
      <c r="A54" s="3" t="inlineStr">
        <is>
          <t>上位連携(現地)</t>
        </is>
      </c>
      <c r="B54" s="3" t="inlineStr">
        <is>
          <t>medium</t>
        </is>
      </c>
      <c r="C54" s="3" t="inlineStr">
        <is>
          <t>setup_host_system_medium_hours</t>
        </is>
      </c>
      <c r="D54" s="4" t="n">
        <v>8</v>
      </c>
      <c r="E54" s="5" t="n"/>
      <c r="F54" s="6">
        <f>IF(E54="",D54,E54)</f>
        <v/>
      </c>
      <c r="G54" s="3" t="inlineStr">
        <is>
          <t>h</t>
        </is>
      </c>
      <c r="H54" s="3" t="inlineStr"/>
    </row>
    <row r="55">
      <c r="A55" s="3" t="inlineStr">
        <is>
          <t>上位連携(現地)</t>
        </is>
      </c>
      <c r="B55" s="3" t="inlineStr">
        <is>
          <t>large</t>
        </is>
      </c>
      <c r="C55" s="3" t="inlineStr">
        <is>
          <t>setup_host_system_large_hours</t>
        </is>
      </c>
      <c r="D55" s="4" t="n">
        <v>16</v>
      </c>
      <c r="E55" s="5" t="n"/>
      <c r="F55" s="6">
        <f>IF(E55="",D55,E55)</f>
        <v/>
      </c>
      <c r="G55" s="3" t="inlineStr">
        <is>
          <t>h</t>
        </is>
      </c>
      <c r="H5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工数・金額の試算（係数一覧の採用値で自動計算。黄色の入力は自由に変更可）</t>
        </is>
      </c>
    </row>
    <row r="2">
      <c r="A2" t="inlineStr">
        <is>
          <t>D〜F列はサンプル、G列は実案件用。シミュレーターから取れる値は右端「出力元」を参照</t>
        </is>
      </c>
    </row>
    <row r="4">
      <c r="A4" s="7" t="inlineStr">
        <is>
          <t>入力項目</t>
        </is>
      </c>
      <c r="B4" s="7" t="inlineStr">
        <is>
          <t>キー</t>
        </is>
      </c>
      <c r="C4" s="7" t="inlineStr">
        <is>
          <t>選択肢/単位</t>
        </is>
      </c>
      <c r="D4" s="7" t="inlineStr">
        <is>
          <t>小規模(例)</t>
        </is>
      </c>
      <c r="E4" s="7" t="inlineStr">
        <is>
          <t>中規模(例)</t>
        </is>
      </c>
      <c r="F4" s="7" t="inlineStr">
        <is>
          <t>大規模(例)</t>
        </is>
      </c>
      <c r="G4" s="7" t="inlineStr">
        <is>
          <t>実案件用</t>
        </is>
      </c>
      <c r="H4" s="7" t="inlineStr">
        <is>
          <t>シミュレーターの出力元</t>
        </is>
      </c>
    </row>
    <row r="5">
      <c r="A5" s="3" t="inlineStr">
        <is>
          <t>AGV台数</t>
        </is>
      </c>
      <c r="B5" s="3" t="inlineStr">
        <is>
          <t>vehicle_count</t>
        </is>
      </c>
      <c r="C5" s="3" t="inlineStr">
        <is>
          <t>台</t>
        </is>
      </c>
      <c r="D5" s="5" t="n">
        <v>1</v>
      </c>
      <c r="E5" s="5" t="n">
        <v>3</v>
      </c>
      <c r="F5" s="5" t="n">
        <v>6</v>
      </c>
      <c r="G5" s="5" t="n">
        <v>2</v>
      </c>
      <c r="H5" s="3" t="inlineStr">
        <is>
          <t>必要台数逆算（capacity_planner）</t>
        </is>
      </c>
    </row>
    <row r="6">
      <c r="A6" s="3" t="inlineStr">
        <is>
          <t>受取ST数</t>
        </is>
      </c>
      <c r="B6" s="3" t="inlineStr">
        <is>
          <t>pickup_count</t>
        </is>
      </c>
      <c r="C6" s="3" t="inlineStr">
        <is>
          <t>箇所</t>
        </is>
      </c>
      <c r="D6" s="5" t="n">
        <v>1</v>
      </c>
      <c r="E6" s="5" t="n">
        <v>2</v>
      </c>
      <c r="F6" s="5" t="n">
        <v>3</v>
      </c>
      <c r="G6" s="5" t="n">
        <v>1</v>
      </c>
      <c r="H6" s="3" t="inlineStr">
        <is>
          <t>配置した受取ノード数</t>
        </is>
      </c>
    </row>
    <row r="7">
      <c r="A7" s="3" t="inlineStr">
        <is>
          <t>受渡ST数</t>
        </is>
      </c>
      <c r="B7" s="3" t="inlineStr">
        <is>
          <t>dropoff_count</t>
        </is>
      </c>
      <c r="C7" s="3" t="inlineStr">
        <is>
          <t>箇所</t>
        </is>
      </c>
      <c r="D7" s="5" t="n">
        <v>1</v>
      </c>
      <c r="E7" s="5" t="n">
        <v>2</v>
      </c>
      <c r="F7" s="5" t="n">
        <v>4</v>
      </c>
      <c r="G7" s="5" t="n">
        <v>1</v>
      </c>
      <c r="H7" s="3" t="inlineStr">
        <is>
          <t>配置した受渡ノード数</t>
        </is>
      </c>
    </row>
    <row r="8">
      <c r="A8" s="3" t="inlineStr">
        <is>
          <t>走行エリア 短辺</t>
        </is>
      </c>
      <c r="B8" s="3" t="inlineStr">
        <is>
          <t>area_short_m</t>
        </is>
      </c>
      <c r="C8" s="3" t="inlineStr">
        <is>
          <t>m</t>
        </is>
      </c>
      <c r="D8" s="5" t="n">
        <v>10</v>
      </c>
      <c r="E8" s="5" t="n">
        <v>30</v>
      </c>
      <c r="F8" s="5" t="n">
        <v>60</v>
      </c>
      <c r="G8" s="5" t="n">
        <v>10</v>
      </c>
      <c r="H8" s="3" t="inlineStr">
        <is>
          <t>走行エリア外形の短辺</t>
        </is>
      </c>
    </row>
    <row r="9">
      <c r="A9" s="3" t="inlineStr">
        <is>
          <t>走行エリア 長辺</t>
        </is>
      </c>
      <c r="B9" s="3" t="inlineStr">
        <is>
          <t>area_long_m</t>
        </is>
      </c>
      <c r="C9" s="3" t="inlineStr">
        <is>
          <t>m</t>
        </is>
      </c>
      <c r="D9" s="5" t="n">
        <v>20</v>
      </c>
      <c r="E9" s="5" t="n">
        <v>50</v>
      </c>
      <c r="F9" s="5" t="n">
        <v>100</v>
      </c>
      <c r="G9" s="5" t="n">
        <v>20</v>
      </c>
      <c r="H9" s="3" t="inlineStr">
        <is>
          <t>走行エリア外形の長辺</t>
        </is>
      </c>
    </row>
    <row r="10">
      <c r="A10" s="3" t="inlineStr">
        <is>
          <t>ルート複雑さ</t>
        </is>
      </c>
      <c r="B10" s="3" t="inlineStr">
        <is>
          <t>route_complexity</t>
        </is>
      </c>
      <c r="C10" s="3" t="inlineStr">
        <is>
          <t>simple/standard/complex/unknown</t>
        </is>
      </c>
      <c r="D10" s="5" t="inlineStr">
        <is>
          <t>simple</t>
        </is>
      </c>
      <c r="E10" s="5" t="inlineStr">
        <is>
          <t>standard</t>
        </is>
      </c>
      <c r="F10" s="5" t="inlineStr">
        <is>
          <t>complex</t>
        </is>
      </c>
      <c r="G10" s="5" t="inlineStr">
        <is>
          <t>standard</t>
        </is>
      </c>
      <c r="H10" s="3" t="inlineStr">
        <is>
          <t>分岐数・交差点数から判定（要ルール化）</t>
        </is>
      </c>
    </row>
    <row r="11">
      <c r="A11" s="3" t="inlineStr">
        <is>
          <t>すれ違い・合流</t>
        </is>
      </c>
      <c r="B11" s="3" t="inlineStr">
        <is>
          <t>merge_level</t>
        </is>
      </c>
      <c r="C11" s="3" t="inlineStr">
        <is>
          <t>low/standard/high/unknown</t>
        </is>
      </c>
      <c r="D11" s="5" t="inlineStr">
        <is>
          <t>low</t>
        </is>
      </c>
      <c r="E11" s="5" t="inlineStr">
        <is>
          <t>standard</t>
        </is>
      </c>
      <c r="F11" s="5" t="inlineStr">
        <is>
          <t>high</t>
        </is>
      </c>
      <c r="G11" s="5" t="inlineStr">
        <is>
          <t>standard</t>
        </is>
      </c>
      <c r="H11" s="3" t="inlineStr">
        <is>
          <t>合流点・すれ違い点の数から判定（要ルール化）</t>
        </is>
      </c>
    </row>
    <row r="12">
      <c r="A12" s="3" t="inlineStr">
        <is>
          <t>充電器数</t>
        </is>
      </c>
      <c r="B12" s="3" t="inlineStr">
        <is>
          <t>charger_count</t>
        </is>
      </c>
      <c r="C12" s="3" t="inlineStr">
        <is>
          <t>台</t>
        </is>
      </c>
      <c r="D12" s="5" t="n">
        <v>0</v>
      </c>
      <c r="E12" s="5" t="n">
        <v>1</v>
      </c>
      <c r="F12" s="5" t="n">
        <v>2</v>
      </c>
      <c r="G12" s="5" t="n">
        <v>0</v>
      </c>
      <c r="H12" s="3" t="inlineStr">
        <is>
          <t>配置した充電ノード数</t>
        </is>
      </c>
    </row>
    <row r="13">
      <c r="A13" s="3" t="inlineStr">
        <is>
          <t>磁気停止数</t>
        </is>
      </c>
      <c r="B13" s="3" t="inlineStr">
        <is>
          <t>magnetic_stop_count</t>
        </is>
      </c>
      <c r="C13" s="3" t="inlineStr">
        <is>
          <t>箇所</t>
        </is>
      </c>
      <c r="D13" s="5" t="n">
        <v>0</v>
      </c>
      <c r="E13" s="5" t="n">
        <v>0</v>
      </c>
      <c r="F13" s="5" t="n">
        <v>2</v>
      </c>
      <c r="G13" s="5" t="n">
        <v>0</v>
      </c>
      <c r="H13" s="3" t="inlineStr">
        <is>
          <t>（手入力）</t>
        </is>
      </c>
    </row>
    <row r="14">
      <c r="A14" s="3" t="inlineStr">
        <is>
          <t>ランドマーク範囲</t>
        </is>
      </c>
      <c r="B14" s="3" t="inlineStr">
        <is>
          <t>landmark_range</t>
        </is>
      </c>
      <c r="C14" s="3" t="inlineStr">
        <is>
          <t>small/medium/large/full/unknown</t>
        </is>
      </c>
      <c r="D14" s="5" t="inlineStr">
        <is>
          <t>small</t>
        </is>
      </c>
      <c r="E14" s="5" t="inlineStr">
        <is>
          <t>medium</t>
        </is>
      </c>
      <c r="F14" s="5" t="inlineStr">
        <is>
          <t>large</t>
        </is>
      </c>
      <c r="G14" s="5" t="inlineStr">
        <is>
          <t>unknown</t>
        </is>
      </c>
      <c r="H14" s="3" t="inlineStr">
        <is>
          <t>（手入力）</t>
        </is>
      </c>
    </row>
    <row r="15">
      <c r="A15" s="3" t="inlineStr">
        <is>
          <t>EV数</t>
        </is>
      </c>
      <c r="B15" s="3" t="inlineStr">
        <is>
          <t>elevator_count</t>
        </is>
      </c>
      <c r="C15" s="3" t="inlineStr">
        <is>
          <t>基</t>
        </is>
      </c>
      <c r="D15" s="5" t="n">
        <v>0</v>
      </c>
      <c r="E15" s="5" t="n">
        <v>0</v>
      </c>
      <c r="F15" s="5" t="n">
        <v>1</v>
      </c>
      <c r="G15" s="5" t="n">
        <v>0</v>
      </c>
      <c r="H15" s="3" t="inlineStr">
        <is>
          <t>（手入力）</t>
        </is>
      </c>
    </row>
    <row r="16">
      <c r="A16" s="3" t="inlineStr">
        <is>
          <t>自動ドア数</t>
        </is>
      </c>
      <c r="B16" s="3" t="inlineStr">
        <is>
          <t>auto_door_count</t>
        </is>
      </c>
      <c r="C16" s="3" t="inlineStr">
        <is>
          <t>基</t>
        </is>
      </c>
      <c r="D16" s="5" t="n">
        <v>0</v>
      </c>
      <c r="E16" s="5" t="n">
        <v>1</v>
      </c>
      <c r="F16" s="5" t="n">
        <v>2</v>
      </c>
      <c r="G16" s="5" t="n">
        <v>0</v>
      </c>
      <c r="H16" s="3" t="inlineStr">
        <is>
          <t>（手入力）</t>
        </is>
      </c>
    </row>
    <row r="17">
      <c r="A17" s="3" t="inlineStr">
        <is>
          <t>PLC連携規模</t>
        </is>
      </c>
      <c r="B17" s="3" t="inlineStr">
        <is>
          <t>plc_scale</t>
        </is>
      </c>
      <c r="C17" s="3" t="inlineStr">
        <is>
          <t>none/small/medium/large/unknown</t>
        </is>
      </c>
      <c r="D17" s="5" t="inlineStr">
        <is>
          <t>none</t>
        </is>
      </c>
      <c r="E17" s="5" t="inlineStr">
        <is>
          <t>small</t>
        </is>
      </c>
      <c r="F17" s="5" t="inlineStr">
        <is>
          <t>medium</t>
        </is>
      </c>
      <c r="G17" s="5" t="inlineStr">
        <is>
          <t>none</t>
        </is>
      </c>
      <c r="H17" s="3" t="inlineStr">
        <is>
          <t>（手入力）</t>
        </is>
      </c>
    </row>
    <row r="18">
      <c r="A18" s="3" t="inlineStr">
        <is>
          <t>上位システム連携</t>
        </is>
      </c>
      <c r="B18" s="3" t="inlineStr">
        <is>
          <t>host_system</t>
        </is>
      </c>
      <c r="C18" s="3" t="inlineStr">
        <is>
          <t>none/small/medium/large</t>
        </is>
      </c>
      <c r="D18" s="5" t="inlineStr">
        <is>
          <t>none</t>
        </is>
      </c>
      <c r="E18" s="5" t="inlineStr">
        <is>
          <t>none</t>
        </is>
      </c>
      <c r="F18" s="5" t="inlineStr">
        <is>
          <t>small</t>
        </is>
      </c>
      <c r="G18" s="5" t="inlineStr">
        <is>
          <t>none</t>
        </is>
      </c>
      <c r="H18" s="3" t="inlineStr">
        <is>
          <t>（手入力）</t>
        </is>
      </c>
    </row>
    <row r="20">
      <c r="A20" s="8" t="inlineStr">
        <is>
          <t>▼ 中間値</t>
        </is>
      </c>
    </row>
    <row r="21">
      <c r="A21" s="3" t="inlineStr">
        <is>
          <t>パターン数(受取×受渡)</t>
        </is>
      </c>
      <c r="B21" s="3" t="n"/>
      <c r="C21" s="3" t="n"/>
      <c r="D21" s="9">
        <f>D$6*D$7</f>
        <v/>
      </c>
      <c r="E21" s="9">
        <f>E$6*E$7</f>
        <v/>
      </c>
      <c r="F21" s="9">
        <f>F$6*F$7</f>
        <v/>
      </c>
      <c r="G21" s="9">
        <f>G$6*G$7</f>
        <v/>
      </c>
    </row>
    <row r="22">
      <c r="A22" s="3" t="inlineStr">
        <is>
          <t>ルート係数</t>
        </is>
      </c>
      <c r="B22" s="3" t="n"/>
      <c r="C22" s="3" t="n"/>
      <c r="D22" s="9">
        <f>CHOOSE(MATCH(D$10,{"simple","standard","complex","unknown"},0),'係数一覧'!$F$14,'係数一覧'!$F$15,'係数一覧'!$F$16,'係数一覧'!$F$17)</f>
        <v/>
      </c>
      <c r="E22" s="9">
        <f>CHOOSE(MATCH(E$10,{"simple","standard","complex","unknown"},0),'係数一覧'!$F$14,'係数一覧'!$F$15,'係数一覧'!$F$16,'係数一覧'!$F$17)</f>
        <v/>
      </c>
      <c r="F22" s="9">
        <f>CHOOSE(MATCH(F$10,{"simple","standard","complex","unknown"},0),'係数一覧'!$F$14,'係数一覧'!$F$15,'係数一覧'!$F$16,'係数一覧'!$F$17)</f>
        <v/>
      </c>
      <c r="G22" s="9">
        <f>CHOOSE(MATCH(G$10,{"simple","standard","complex","unknown"},0),'係数一覧'!$F$14,'係数一覧'!$F$15,'係数一覧'!$F$16,'係数一覧'!$F$17)</f>
        <v/>
      </c>
    </row>
    <row r="23">
      <c r="A23" s="3" t="inlineStr">
        <is>
          <t>合流係数</t>
        </is>
      </c>
      <c r="B23" s="3" t="n"/>
      <c r="C23" s="3" t="n"/>
      <c r="D23" s="9">
        <f>CHOOSE(MATCH(D$11,{"low","standard","high","unknown"},0),'係数一覧'!$F$18,'係数一覧'!$F$19,'係数一覧'!$F$20,'係数一覧'!$F$21)</f>
        <v/>
      </c>
      <c r="E23" s="9">
        <f>CHOOSE(MATCH(E$11,{"low","standard","high","unknown"},0),'係数一覧'!$F$18,'係数一覧'!$F$19,'係数一覧'!$F$20,'係数一覧'!$F$21)</f>
        <v/>
      </c>
      <c r="F23" s="9">
        <f>CHOOSE(MATCH(F$11,{"low","standard","high","unknown"},0),'係数一覧'!$F$18,'係数一覧'!$F$19,'係数一覧'!$F$20,'係数一覧'!$F$21)</f>
        <v/>
      </c>
      <c r="G23" s="9">
        <f>CHOOSE(MATCH(G$11,{"low","standard","high","unknown"},0),'係数一覧'!$F$18,'係数一覧'!$F$19,'係数一覧'!$F$20,'係数一覧'!$F$21)</f>
        <v/>
      </c>
    </row>
    <row r="24">
      <c r="A24" s="3" t="inlineStr">
        <is>
          <t>台数係数</t>
        </is>
      </c>
      <c r="B24" s="3" t="n"/>
      <c r="C24" s="3" t="n"/>
      <c r="D24" s="9">
        <f>IF(D$5&lt;=1,'係数一覧'!$F$22,IF(D$5=2,'係数一覧'!$F$23,IF(D$5=3,'係数一覧'!$F$24,'係数一覧'!$F$25)))</f>
        <v/>
      </c>
      <c r="E24" s="9">
        <f>IF(E$5&lt;=1,'係数一覧'!$F$22,IF(E$5=2,'係数一覧'!$F$23,IF(E$5=3,'係数一覧'!$F$24,'係数一覧'!$F$25)))</f>
        <v/>
      </c>
      <c r="F24" s="9">
        <f>IF(F$5&lt;=1,'係数一覧'!$F$22,IF(F$5=2,'係数一覧'!$F$23,IF(F$5=3,'係数一覧'!$F$24,'係数一覧'!$F$25)))</f>
        <v/>
      </c>
      <c r="G24" s="9">
        <f>IF(G$5&lt;=1,'係数一覧'!$F$22,IF(G$5=2,'係数一覧'!$F$23,IF(G$5=3,'係数一覧'!$F$24,'係数一覧'!$F$25)))</f>
        <v/>
      </c>
    </row>
    <row r="25">
      <c r="A25" s="3" t="inlineStr">
        <is>
          <t>パターンスコア</t>
        </is>
      </c>
      <c r="B25" s="3" t="n"/>
      <c r="C25" s="3" t="n"/>
      <c r="D25" s="9">
        <f>SQRT(D21*D22*D23)*D24</f>
        <v/>
      </c>
      <c r="E25" s="9">
        <f>SQRT(E21*E22*E23)*E24</f>
        <v/>
      </c>
      <c r="F25" s="9">
        <f>SQRT(F21*F22*F23)*F24</f>
        <v/>
      </c>
      <c r="G25" s="9">
        <f>SQRT(G21*G22*G23)*G24</f>
        <v/>
      </c>
    </row>
    <row r="26">
      <c r="A26" s="3" t="inlineStr">
        <is>
          <t>レイアウトスコア</t>
        </is>
      </c>
      <c r="B26" s="3" t="n"/>
      <c r="C26" s="3" t="n"/>
      <c r="D26" s="9">
        <f>SQRT(D$8*D$9)/10</f>
        <v/>
      </c>
      <c r="E26" s="9">
        <f>SQRT(E$8*E$9)/10</f>
        <v/>
      </c>
      <c r="F26" s="9">
        <f>SQRT(F$8*F$9)/10</f>
        <v/>
      </c>
      <c r="G26" s="9">
        <f>SQRT(G$8*G$9)/10</f>
        <v/>
      </c>
    </row>
    <row r="27">
      <c r="A27" s="3" t="inlineStr">
        <is>
          <t>ランドマーク係数</t>
        </is>
      </c>
      <c r="B27" s="3" t="n"/>
      <c r="C27" s="3" t="n"/>
      <c r="D27" s="9">
        <f>CHOOSE(MATCH(D$14,{"small","medium","large","full","unknown"},0),'係数一覧'!$F$26,'係数一覧'!$F$27,'係数一覧'!$F$28,'係数一覧'!$F$29,'係数一覧'!$F$30)</f>
        <v/>
      </c>
      <c r="E27" s="9">
        <f>CHOOSE(MATCH(E$14,{"small","medium","large","full","unknown"},0),'係数一覧'!$F$26,'係数一覧'!$F$27,'係数一覧'!$F$28,'係数一覧'!$F$29,'係数一覧'!$F$30)</f>
        <v/>
      </c>
      <c r="F27" s="9">
        <f>CHOOSE(MATCH(F$14,{"small","medium","large","full","unknown"},0),'係数一覧'!$F$26,'係数一覧'!$F$27,'係数一覧'!$F$28,'係数一覧'!$F$29,'係数一覧'!$F$30)</f>
        <v/>
      </c>
      <c r="G27" s="9">
        <f>CHOOSE(MATCH(G$14,{"small","medium","large","full","unknown"},0),'係数一覧'!$F$26,'係数一覧'!$F$27,'係数一覧'!$F$28,'係数一覧'!$F$29,'係数一覧'!$F$30)</f>
        <v/>
      </c>
    </row>
    <row r="28">
      <c r="A28" s="3" t="inlineStr">
        <is>
          <t>PLC信号点数</t>
        </is>
      </c>
      <c r="B28" s="3" t="n"/>
      <c r="C28" s="3" t="n"/>
      <c r="D28" s="9">
        <f>CHOOSE(MATCH(D$17,{"none","small","medium","large","unknown"},0),'係数一覧'!$F$43,'係数一覧'!$F$44,'係数一覧'!$F$45,'係数一覧'!$F$46,'係数一覧'!$F$47)</f>
        <v/>
      </c>
      <c r="E28" s="9">
        <f>CHOOSE(MATCH(E$17,{"none","small","medium","large","unknown"},0),'係数一覧'!$F$43,'係数一覧'!$F$44,'係数一覧'!$F$45,'係数一覧'!$F$46,'係数一覧'!$F$47)</f>
        <v/>
      </c>
      <c r="F28" s="9">
        <f>CHOOSE(MATCH(F$17,{"none","small","medium","large","unknown"},0),'係数一覧'!$F$43,'係数一覧'!$F$44,'係数一覧'!$F$45,'係数一覧'!$F$46,'係数一覧'!$F$47)</f>
        <v/>
      </c>
      <c r="G28" s="9">
        <f>CHOOSE(MATCH(G$17,{"none","small","medium","large","unknown"},0),'係数一覧'!$F$43,'係数一覧'!$F$44,'係数一覧'!$F$45,'係数一覧'!$F$46,'係数一覧'!$F$47)</f>
        <v/>
      </c>
    </row>
    <row r="29">
      <c r="A29" s="3" t="inlineStr">
        <is>
          <t>上位連携 設計h</t>
        </is>
      </c>
      <c r="B29" s="3" t="n"/>
      <c r="C29" s="3" t="n"/>
      <c r="D29" s="9">
        <f>CHOOSE(MATCH(D$18,{"none","small","medium","large"},0),'係数一覧'!$F$48,'係数一覧'!$F$49,'係数一覧'!$F$50,'係数一覧'!$F$51)</f>
        <v/>
      </c>
      <c r="E29" s="9">
        <f>CHOOSE(MATCH(E$18,{"none","small","medium","large"},0),'係数一覧'!$F$48,'係数一覧'!$F$49,'係数一覧'!$F$50,'係数一覧'!$F$51)</f>
        <v/>
      </c>
      <c r="F29" s="9">
        <f>CHOOSE(MATCH(F$18,{"none","small","medium","large"},0),'係数一覧'!$F$48,'係数一覧'!$F$49,'係数一覧'!$F$50,'係数一覧'!$F$51)</f>
        <v/>
      </c>
      <c r="G29" s="9">
        <f>CHOOSE(MATCH(G$18,{"none","small","medium","large"},0),'係数一覧'!$F$48,'係数一覧'!$F$49,'係数一覧'!$F$50,'係数一覧'!$F$51)</f>
        <v/>
      </c>
    </row>
    <row r="30">
      <c r="A30" s="3" t="inlineStr">
        <is>
          <t>上位連携 現地h</t>
        </is>
      </c>
      <c r="B30" s="3" t="n"/>
      <c r="C30" s="3" t="n"/>
      <c r="D30" s="9">
        <f>CHOOSE(MATCH(D$18,{"none","small","medium","large"},0),'係数一覧'!$F$52,'係数一覧'!$F$53,'係数一覧'!$F$54,'係数一覧'!$F$55)</f>
        <v/>
      </c>
      <c r="E30" s="9">
        <f>CHOOSE(MATCH(E$18,{"none","small","medium","large"},0),'係数一覧'!$F$52,'係数一覧'!$F$53,'係数一覧'!$F$54,'係数一覧'!$F$55)</f>
        <v/>
      </c>
      <c r="F30" s="9">
        <f>CHOOSE(MATCH(F$18,{"none","small","medium","large"},0),'係数一覧'!$F$52,'係数一覧'!$F$53,'係数一覧'!$F$54,'係数一覧'!$F$55)</f>
        <v/>
      </c>
      <c r="G30" s="9">
        <f>CHOOSE(MATCH(G$18,{"none","small","medium","large"},0),'係数一覧'!$F$52,'係数一覧'!$F$53,'係数一覧'!$F$54,'係数一覧'!$F$55)</f>
        <v/>
      </c>
    </row>
    <row r="32">
      <c r="A32" s="8" t="inlineStr">
        <is>
          <t>▼ 結果</t>
        </is>
      </c>
    </row>
    <row r="33">
      <c r="A33" s="6" t="inlineStr">
        <is>
          <t>設計工数 (h)</t>
        </is>
      </c>
      <c r="B33" s="6" t="n"/>
      <c r="C33" s="6" t="n"/>
      <c r="D33" s="6">
        <f>CEILING(MAX('係数一覧'!$F$7+D$5*'係数一覧'!$F$9+D25*'係数一覧'!$F$11+D$12*'係数一覧'!$F$33+D$13*'係数一覧'!$F$35+D27*'係数一覧'!$F$31+D$15*'係数一覧'!$F$37+D$16*'係数一覧'!$F$39+D28*'係数一覧'!$F$41+D29,'係数一覧'!$F$7),0.5)</f>
        <v/>
      </c>
      <c r="E33" s="6">
        <f>CEILING(MAX('係数一覧'!$F$7+E$5*'係数一覧'!$F$9+E25*'係数一覧'!$F$11+E$12*'係数一覧'!$F$33+E$13*'係数一覧'!$F$35+E27*'係数一覧'!$F$31+E$15*'係数一覧'!$F$37+E$16*'係数一覧'!$F$39+E28*'係数一覧'!$F$41+E29,'係数一覧'!$F$7),0.5)</f>
        <v/>
      </c>
      <c r="F33" s="6">
        <f>CEILING(MAX('係数一覧'!$F$7+F$5*'係数一覧'!$F$9+F25*'係数一覧'!$F$11+F$12*'係数一覧'!$F$33+F$13*'係数一覧'!$F$35+F27*'係数一覧'!$F$31+F$15*'係数一覧'!$F$37+F$16*'係数一覧'!$F$39+F28*'係数一覧'!$F$41+F29,'係数一覧'!$F$7),0.5)</f>
        <v/>
      </c>
      <c r="G33" s="6">
        <f>CEILING(MAX('係数一覧'!$F$7+G$5*'係数一覧'!$F$9+G25*'係数一覧'!$F$11+G$12*'係数一覧'!$F$33+G$13*'係数一覧'!$F$35+G27*'係数一覧'!$F$31+G$15*'係数一覧'!$F$37+G$16*'係数一覧'!$F$39+G28*'係数一覧'!$F$41+G29,'係数一覧'!$F$7),0.5)</f>
        <v/>
      </c>
    </row>
    <row r="34">
      <c r="A34" s="6" t="inlineStr">
        <is>
          <t>現地工数 (h)</t>
        </is>
      </c>
      <c r="B34" s="6" t="n"/>
      <c r="C34" s="6" t="n"/>
      <c r="D34" s="6">
        <f>CEILING(MAX('係数一覧'!$F$8+D$5*'係数一覧'!$F$10+D25*'係数一覧'!$F$12+D26*'係数一覧'!$F$13+D$12*'係数一覧'!$F$34+D$13*'係数一覧'!$F$36+D27*'係数一覧'!$F$32+D$15*'係数一覧'!$F$38+D$16*'係数一覧'!$F$40+D28*'係数一覧'!$F$42+D30,'係数一覧'!$F$8),0.5)</f>
        <v/>
      </c>
      <c r="E34" s="6">
        <f>CEILING(MAX('係数一覧'!$F$8+E$5*'係数一覧'!$F$10+E25*'係数一覧'!$F$12+E26*'係数一覧'!$F$13+E$12*'係数一覧'!$F$34+E$13*'係数一覧'!$F$36+E27*'係数一覧'!$F$32+E$15*'係数一覧'!$F$38+E$16*'係数一覧'!$F$40+E28*'係数一覧'!$F$42+E30,'係数一覧'!$F$8),0.5)</f>
        <v/>
      </c>
      <c r="F34" s="6">
        <f>CEILING(MAX('係数一覧'!$F$8+F$5*'係数一覧'!$F$10+F25*'係数一覧'!$F$12+F26*'係数一覧'!$F$13+F$12*'係数一覧'!$F$34+F$13*'係数一覧'!$F$36+F27*'係数一覧'!$F$32+F$15*'係数一覧'!$F$38+F$16*'係数一覧'!$F$40+F28*'係数一覧'!$F$42+F30,'係数一覧'!$F$8),0.5)</f>
        <v/>
      </c>
      <c r="G34" s="6">
        <f>CEILING(MAX('係数一覧'!$F$8+G$5*'係数一覧'!$F$10+G25*'係数一覧'!$F$12+G26*'係数一覧'!$F$13+G$12*'係数一覧'!$F$34+G$13*'係数一覧'!$F$36+G27*'係数一覧'!$F$32+G$15*'係数一覧'!$F$38+G$16*'係数一覧'!$F$40+G28*'係数一覧'!$F$42+G30,'係数一覧'!$F$8),0.5)</f>
        <v/>
      </c>
    </row>
    <row r="35">
      <c r="A35" s="6" t="inlineStr">
        <is>
          <t>合計工数 (h)</t>
        </is>
      </c>
      <c r="B35" s="6" t="n"/>
      <c r="C35" s="6" t="n"/>
      <c r="D35" s="6">
        <f>D33+D34</f>
        <v/>
      </c>
      <c r="E35" s="6">
        <f>E33+E34</f>
        <v/>
      </c>
      <c r="F35" s="6">
        <f>F33+F34</f>
        <v/>
      </c>
      <c r="G35" s="6">
        <f>G33+G34</f>
        <v/>
      </c>
    </row>
    <row r="36">
      <c r="A36" s="3" t="inlineStr">
        <is>
          <t>設計 原価(円)</t>
        </is>
      </c>
      <c r="B36" s="3" t="n"/>
      <c r="C36" s="3" t="n"/>
      <c r="D36" s="10">
        <f>ROUND(D33*'係数一覧'!$F$5,0)</f>
        <v/>
      </c>
      <c r="E36" s="10">
        <f>ROUND(E33*'係数一覧'!$F$5,0)</f>
        <v/>
      </c>
      <c r="F36" s="10">
        <f>ROUND(F33*'係数一覧'!$F$5,0)</f>
        <v/>
      </c>
      <c r="G36" s="10">
        <f>ROUND(G33*'係数一覧'!$F$5,0)</f>
        <v/>
      </c>
    </row>
    <row r="37">
      <c r="A37" s="3" t="inlineStr">
        <is>
          <t>設計 販売(円)</t>
        </is>
      </c>
      <c r="B37" s="3" t="n"/>
      <c r="C37" s="3" t="n"/>
      <c r="D37" s="10">
        <f>ROUND(D33*'係数一覧'!$F$6,0)</f>
        <v/>
      </c>
      <c r="E37" s="10">
        <f>ROUND(E33*'係数一覧'!$F$6,0)</f>
        <v/>
      </c>
      <c r="F37" s="10">
        <f>ROUND(F33*'係数一覧'!$F$6,0)</f>
        <v/>
      </c>
      <c r="G37" s="10">
        <f>ROUND(G33*'係数一覧'!$F$6,0)</f>
        <v/>
      </c>
    </row>
    <row r="38">
      <c r="A38" s="3" t="inlineStr">
        <is>
          <t>現地 原価(円)</t>
        </is>
      </c>
      <c r="B38" s="3" t="n"/>
      <c r="C38" s="3" t="n"/>
      <c r="D38" s="10">
        <f>ROUND(D34*'係数一覧'!$F$5,0)</f>
        <v/>
      </c>
      <c r="E38" s="10">
        <f>ROUND(E34*'係数一覧'!$F$5,0)</f>
        <v/>
      </c>
      <c r="F38" s="10">
        <f>ROUND(F34*'係数一覧'!$F$5,0)</f>
        <v/>
      </c>
      <c r="G38" s="10">
        <f>ROUND(G34*'係数一覧'!$F$5,0)</f>
        <v/>
      </c>
    </row>
    <row r="39">
      <c r="A39" s="3" t="inlineStr">
        <is>
          <t>現地 販売(円)</t>
        </is>
      </c>
      <c r="B39" s="3" t="n"/>
      <c r="C39" s="3" t="n"/>
      <c r="D39" s="10">
        <f>ROUND(D34*'係数一覧'!$F$6,0)</f>
        <v/>
      </c>
      <c r="E39" s="10">
        <f>ROUND(E34*'係数一覧'!$F$6,0)</f>
        <v/>
      </c>
      <c r="F39" s="10">
        <f>ROUND(F34*'係数一覧'!$F$6,0)</f>
        <v/>
      </c>
      <c r="G39" s="10">
        <f>ROUND(G34*'係数一覧'!$F$6,0)</f>
        <v/>
      </c>
    </row>
    <row r="40">
      <c r="A40" s="3" t="inlineStr">
        <is>
          <t>合計 原価(円)</t>
        </is>
      </c>
      <c r="B40" s="3" t="n"/>
      <c r="C40" s="3" t="n"/>
      <c r="D40" s="10">
        <f>D36+D38</f>
        <v/>
      </c>
      <c r="E40" s="10">
        <f>E36+E38</f>
        <v/>
      </c>
      <c r="F40" s="10">
        <f>F36+F38</f>
        <v/>
      </c>
      <c r="G40" s="10">
        <f>G36+G38</f>
        <v/>
      </c>
    </row>
    <row r="41">
      <c r="A41" s="6" t="inlineStr">
        <is>
          <t>合計 販売(円)</t>
        </is>
      </c>
      <c r="B41" s="6" t="n"/>
      <c r="C41" s="6" t="n"/>
      <c r="D41" s="11">
        <f>D37+D39</f>
        <v/>
      </c>
      <c r="E41" s="11">
        <f>E37+E39</f>
        <v/>
      </c>
      <c r="F41" s="11">
        <f>F37+F39</f>
        <v/>
      </c>
      <c r="G41" s="11">
        <f>G37+G39</f>
        <v/>
      </c>
    </row>
    <row r="42">
      <c r="A42" s="3" t="inlineStr">
        <is>
          <t>粗利率</t>
        </is>
      </c>
      <c r="B42" s="3" t="n"/>
      <c r="C42" s="3" t="n"/>
      <c r="D42" s="12">
        <f>IF(D41=0,0,(D41-D40)/D41)</f>
        <v/>
      </c>
      <c r="E42" s="12">
        <f>IF(E41=0,0,(E41-E40)/E41)</f>
        <v/>
      </c>
      <c r="F42" s="12">
        <f>IF(F41=0,0,(F41-F40)/F41)</f>
        <v/>
      </c>
      <c r="G42" s="12">
        <f>IF(G41=0,0,(G41-G40)/G41)</f>
        <v/>
      </c>
    </row>
  </sheetData>
  <dataValidations count="5">
    <dataValidation sqref="D10:G10" showDropDown="0" showInputMessage="0" showErrorMessage="0" allowBlank="0" type="list">
      <formula1>"simple,standard,complex,unknown"</formula1>
    </dataValidation>
    <dataValidation sqref="D11:G11" showDropDown="0" showInputMessage="0" showErrorMessage="0" allowBlank="0" type="list">
      <formula1>"low,standard,high,unknown"</formula1>
    </dataValidation>
    <dataValidation sqref="D14:G14" showDropDown="0" showInputMessage="0" showErrorMessage="0" allowBlank="0" type="list">
      <formula1>"small,medium,large,full,unknown"</formula1>
    </dataValidation>
    <dataValidation sqref="D17:G17" showDropDown="0" showInputMessage="0" showErrorMessage="0" allowBlank="0" type="list">
      <formula1>"none,small,medium,large,unknown"</formula1>
    </dataValidation>
    <dataValidation sqref="D18:G18" showDropDown="0" showInputMessage="0" showErrorMessage="0" allowBlank="0" type="list">
      <formula1>"none,small,medium,large"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『係数一覧』の黄色「変更値」に直したい値を入力（変えない項目は空欄のまま）</t>
        </is>
      </c>
    </row>
    <row r="2">
      <c r="A2" t="inlineStr">
        <is>
          <t>2. 『試算』でサンプル案件の工数・金額が妥当か確認（妥当でなければ1へ）</t>
        </is>
      </c>
    </row>
    <row r="3">
      <c r="A3" t="inlineStr">
        <is>
          <t>3. 確定したらこのファイルを渡す → 見積アプリの管理画面 /admin/v2-parameters とDBへ反映</t>
        </is>
      </c>
    </row>
    <row r="4">
      <c r="A4" t="inlineStr">
        <is>
          <t>※ 賃率(原価6,820/販売12,000)は確定済みで反映済み</t>
        </is>
      </c>
    </row>
    <row r="5">
      <c r="A5" t="inlineStr">
        <is>
          <t>※ ルート複雑さ・合流の判定ルール(シミュレーターのどの数値でsimple/standard/complexとするか)は別途決める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2026-10-05T23:35:44Z</dcterms:created>
  <dcterms:modified xmlns:dcterms="http://purl.org/dc/terms/" xmlns:xsi="http://www.w3.org/2001/XMLSchema-instance" xsi:type="dcterms:W3CDTF">2026-10-05T23:35:44Z</dcterms:modified>
</cp:coreProperties>
</file>